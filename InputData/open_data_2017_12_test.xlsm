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l9\OneDrive\Desktop\GitRepos\bss-analysis\InputData\"/>
    </mc:Choice>
  </mc:AlternateContent>
  <xr:revisionPtr revIDLastSave="0" documentId="10_ncr:100000_{C4EEAB5E-0D56-4B50-96B6-163793C015E0}" xr6:coauthVersionLast="31" xr6:coauthVersionMax="36" xr10:uidLastSave="{00000000-0000-0000-0000-000000000000}"/>
  <bookViews>
    <workbookView xWindow="780" yWindow="960" windowWidth="27640" windowHeight="16540" xr2:uid="{A0E752BF-7B5C-6F48-8CF1-9F7A36F834FF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J3" i="1"/>
  <c r="J7" i="1"/>
  <c r="J11" i="1"/>
  <c r="J15" i="1"/>
  <c r="J4" i="1"/>
  <c r="J8" i="1"/>
  <c r="J12" i="1"/>
  <c r="J16" i="1"/>
  <c r="J6" i="1"/>
  <c r="J18" i="1"/>
  <c r="J5" i="1"/>
  <c r="J9" i="1"/>
  <c r="J13" i="1"/>
  <c r="J17" i="1"/>
  <c r="J10" i="1"/>
  <c r="J14" i="1"/>
  <c r="I3" i="1"/>
  <c r="I7" i="1"/>
  <c r="I11" i="1"/>
  <c r="I15" i="1"/>
  <c r="I4" i="1"/>
  <c r="I8" i="1"/>
  <c r="I12" i="1"/>
  <c r="I16" i="1"/>
  <c r="I5" i="1"/>
  <c r="I9" i="1"/>
  <c r="I13" i="1"/>
  <c r="I17" i="1"/>
  <c r="I6" i="1"/>
  <c r="I10" i="1"/>
  <c r="I14" i="1"/>
  <c r="I18" i="1"/>
  <c r="J2" i="1"/>
  <c r="I2" i="1"/>
  <c r="K2" i="1" l="1"/>
</calcChain>
</file>

<file path=xl/sharedStrings.xml><?xml version="1.0" encoding="utf-8"?>
<sst xmlns="http://schemas.openxmlformats.org/spreadsheetml/2006/main" count="10" uniqueCount="10">
  <si>
    <t>Origen_latitud</t>
  </si>
  <si>
    <t>Origen_longitud</t>
  </si>
  <si>
    <t>Destino_latitud</t>
  </si>
  <si>
    <t>Destino_longitud</t>
  </si>
  <si>
    <t>,</t>
  </si>
  <si>
    <t>20.685652</t>
  </si>
  <si>
    <t>20.6772627</t>
  </si>
  <si>
    <t>estimated_distance</t>
  </si>
  <si>
    <t>estimated_time</t>
  </si>
  <si>
    <t>estimated_seconds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</si>
</sst>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h:mm;@"/>
  </numFmts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49" fontId="0" fillId="0" borderId="0" xfId="0" applyNumberFormat="1"/>
    <xf numFmtId="2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5A98-CFCA-0B4A-8332-22B8A86A6889}">
  <sheetPr codeName="Sheet1"/>
  <dimension ref="D1:M20"/>
  <sheetViews>
    <sheetView tabSelected="1" workbookViewId="0">
      <selection activeCell="L5" sqref="L5"/>
    </sheetView>
  </sheetViews>
  <sheetFormatPr defaultColWidth="10.6640625" defaultRowHeight="15.5" x14ac:dyDescent="0.35"/>
  <cols>
    <col min="9" max="9" width="19.08203125" customWidth="1"/>
    <col min="10" max="10" width="16.08203125" customWidth="1"/>
    <col min="11" max="11" width="14.9140625" customWidth="1"/>
  </cols>
  <sheetData>
    <row r="1" spans="4:13" x14ac:dyDescent="0.35">
      <c r="D1" t="s">
        <v>0</v>
      </c>
      <c r="E1" t="s">
        <v>1</v>
      </c>
      <c r="F1" t="s">
        <v>2</v>
      </c>
      <c r="G1" t="s">
        <v>3</v>
      </c>
      <c r="I1" t="s">
        <v>7</v>
      </c>
      <c r="J1" t="s">
        <v>9</v>
      </c>
      <c r="K1" t="s">
        <v>8</v>
      </c>
    </row>
    <row r="2" spans="4:13" x14ac:dyDescent="0.35">
      <c r="D2" s="2" t="s">
        <v>5</v>
      </c>
      <c r="E2" s="2">
        <v>-103.36821500000001</v>
      </c>
      <c r="F2" s="2" t="s">
        <v>6</v>
      </c>
      <c r="G2" s="2">
        <v>-103.344908</v>
      </c>
      <c r="H2" t="s">
        <v>4</v>
      </c>
      <c r="I2" s="3">
        <f>GetDistanceGoogle($D2&amp;","&amp;$E2,$F2&amp;","&amp;$G2)</f>
        <v>3421</v>
      </c>
      <c r="J2" s="3">
        <f>GetTimeGoogle($D2&amp;","&amp;$E2,$F2&amp;","&amp;$G2)</f>
        <v>741</v>
      </c>
      <c r="K2" s="4">
        <f>TIME(0,0,J2)</f>
        <v>8.5763888888888886E-3</v>
      </c>
    </row>
    <row r="3" spans="4:13" x14ac:dyDescent="0.35">
      <c r="D3" s="2">
        <v>20.683191000000001</v>
      </c>
      <c r="E3" s="2">
        <v>-103.369349</v>
      </c>
      <c r="F3" s="2">
        <v>20.667946000000001</v>
      </c>
      <c r="G3" s="2">
        <v>-103.34677499999999</v>
      </c>
      <c r="I3" s="3">
        <f t="shared" ref="I3:I18" si="0">GetDistanceGoogle($D3&amp;","&amp;$E3,$F3&amp;","&amp;$G3)</f>
        <v>4078</v>
      </c>
      <c r="J3" s="3">
        <f t="shared" ref="J3:J18" si="1">GetTimeGoogle($D3&amp;","&amp;$E3,$F3&amp;","&amp;$G3)</f>
        <v>921</v>
      </c>
      <c r="K3" s="4">
        <f t="shared" ref="K3:K18" si="2">TIME(0,0,J3)</f>
        <v>1.0659722222222221E-2</v>
      </c>
      <c r="L3" s="2"/>
      <c r="M3" s="2"/>
    </row>
    <row r="4" spans="4:13" x14ac:dyDescent="0.35">
      <c r="D4" s="2">
        <v>20.684650000000001</v>
      </c>
      <c r="E4" s="2">
        <v>-103.34526</v>
      </c>
      <c r="F4" s="2">
        <v>20.673400000000001</v>
      </c>
      <c r="G4" s="2">
        <v>-103.35768400000001</v>
      </c>
      <c r="I4" s="3">
        <f t="shared" si="0"/>
        <v>2472</v>
      </c>
      <c r="J4" s="3">
        <f t="shared" si="1"/>
        <v>611</v>
      </c>
      <c r="K4" s="4">
        <f t="shared" si="2"/>
        <v>7.0717592592592594E-3</v>
      </c>
    </row>
    <row r="5" spans="4:13" x14ac:dyDescent="0.35">
      <c r="D5" s="2">
        <v>20.673072000000001</v>
      </c>
      <c r="E5" s="2">
        <v>-103.365055</v>
      </c>
      <c r="F5" s="2">
        <v>20.673072000000001</v>
      </c>
      <c r="G5" s="2">
        <v>-103.365055</v>
      </c>
      <c r="I5" s="3">
        <f t="shared" si="0"/>
        <v>0</v>
      </c>
      <c r="J5" s="3">
        <f t="shared" si="1"/>
        <v>0</v>
      </c>
      <c r="K5" s="4">
        <f t="shared" si="2"/>
        <v>0</v>
      </c>
    </row>
    <row r="6" spans="4:13" x14ac:dyDescent="0.35">
      <c r="D6" s="2">
        <v>20.673072000000001</v>
      </c>
      <c r="E6" s="2">
        <v>-103.365055</v>
      </c>
      <c r="F6" s="2">
        <v>20.666771000000001</v>
      </c>
      <c r="G6" s="2">
        <v>-103.350562</v>
      </c>
      <c r="I6" s="3">
        <f t="shared" si="0"/>
        <v>1966</v>
      </c>
      <c r="J6" s="3">
        <f t="shared" si="1"/>
        <v>453</v>
      </c>
      <c r="K6" s="4">
        <f t="shared" si="2"/>
        <v>5.2430555555555555E-3</v>
      </c>
    </row>
    <row r="7" spans="4:13" x14ac:dyDescent="0.35">
      <c r="D7" s="2">
        <v>20.672640999999999</v>
      </c>
      <c r="E7" s="2">
        <v>-103.353542</v>
      </c>
      <c r="F7" s="2">
        <v>20.674558999999999</v>
      </c>
      <c r="G7" s="2">
        <v>-103.35266300000001</v>
      </c>
      <c r="I7" s="3">
        <f t="shared" si="0"/>
        <v>304</v>
      </c>
      <c r="J7" s="3">
        <f t="shared" si="1"/>
        <v>72</v>
      </c>
      <c r="K7" s="4">
        <f t="shared" si="2"/>
        <v>8.3333333333333339E-4</v>
      </c>
    </row>
    <row r="8" spans="4:13" x14ac:dyDescent="0.35">
      <c r="D8" s="2">
        <v>20.675421</v>
      </c>
      <c r="E8" s="2">
        <v>-103.342049</v>
      </c>
      <c r="F8" s="2">
        <v>20.675421</v>
      </c>
      <c r="G8" s="2">
        <v>-103.342049</v>
      </c>
      <c r="I8" s="3">
        <f t="shared" si="0"/>
        <v>0</v>
      </c>
      <c r="J8" s="3">
        <f t="shared" si="1"/>
        <v>0</v>
      </c>
      <c r="K8" s="4">
        <f t="shared" si="2"/>
        <v>0</v>
      </c>
    </row>
    <row r="9" spans="4:13" x14ac:dyDescent="0.35">
      <c r="D9" s="2">
        <v>20.669305999999999</v>
      </c>
      <c r="E9" s="2">
        <v>-103.368312</v>
      </c>
      <c r="F9" s="2">
        <v>20.6647</v>
      </c>
      <c r="G9" s="2">
        <v>-103.38855</v>
      </c>
      <c r="I9" s="3">
        <f t="shared" si="0"/>
        <v>2924</v>
      </c>
      <c r="J9" s="3">
        <f t="shared" si="1"/>
        <v>697</v>
      </c>
      <c r="K9" s="4">
        <f t="shared" si="2"/>
        <v>8.0671296296296307E-3</v>
      </c>
    </row>
    <row r="10" spans="4:13" x14ac:dyDescent="0.35">
      <c r="D10" s="2">
        <v>20.669270000000001</v>
      </c>
      <c r="E10" s="2">
        <v>-103.37983</v>
      </c>
      <c r="F10" s="2">
        <v>20.675243999999999</v>
      </c>
      <c r="G10" s="2">
        <v>-103.347889</v>
      </c>
      <c r="I10" s="3">
        <f t="shared" si="0"/>
        <v>3901</v>
      </c>
      <c r="J10" s="3">
        <f t="shared" si="1"/>
        <v>863</v>
      </c>
      <c r="K10" s="4">
        <f t="shared" si="2"/>
        <v>9.9884259259259266E-3</v>
      </c>
    </row>
    <row r="11" spans="4:13" x14ac:dyDescent="0.35">
      <c r="D11" s="2">
        <v>20.673072000000001</v>
      </c>
      <c r="E11" s="2">
        <v>-103.365055</v>
      </c>
      <c r="F11" s="2">
        <v>20.673072000000001</v>
      </c>
      <c r="G11" s="2">
        <v>-103.365055</v>
      </c>
      <c r="I11" s="3">
        <f t="shared" si="0"/>
        <v>0</v>
      </c>
      <c r="J11" s="3">
        <f t="shared" si="1"/>
        <v>0</v>
      </c>
      <c r="K11" s="4">
        <f t="shared" si="2"/>
        <v>0</v>
      </c>
    </row>
    <row r="12" spans="4:13" x14ac:dyDescent="0.35">
      <c r="D12" s="2">
        <v>20.673072000000001</v>
      </c>
      <c r="E12" s="2">
        <v>-103.365055</v>
      </c>
      <c r="F12" s="2">
        <v>20.673072000000001</v>
      </c>
      <c r="G12" s="2">
        <v>-103.365055</v>
      </c>
      <c r="I12" s="3">
        <f t="shared" si="0"/>
        <v>0</v>
      </c>
      <c r="J12" s="3">
        <f t="shared" si="1"/>
        <v>0</v>
      </c>
      <c r="K12" s="4">
        <f t="shared" si="2"/>
        <v>0</v>
      </c>
    </row>
    <row r="13" spans="4:13" x14ac:dyDescent="0.35">
      <c r="D13" s="2">
        <v>20.679389</v>
      </c>
      <c r="E13" s="2">
        <v>-103.35912999999999</v>
      </c>
      <c r="F13" s="2">
        <v>20.675421</v>
      </c>
      <c r="G13" s="2">
        <v>-103.342049</v>
      </c>
      <c r="I13" s="3">
        <f t="shared" si="0"/>
        <v>2306</v>
      </c>
      <c r="J13" s="3">
        <f t="shared" si="1"/>
        <v>557</v>
      </c>
      <c r="K13" s="4">
        <f t="shared" si="2"/>
        <v>6.4467592592592597E-3</v>
      </c>
    </row>
    <row r="14" spans="4:13" x14ac:dyDescent="0.35">
      <c r="D14" s="2">
        <v>20.676461</v>
      </c>
      <c r="E14" s="2">
        <v>-103.350244</v>
      </c>
      <c r="F14" s="2">
        <v>20.681151</v>
      </c>
      <c r="G14" s="2">
        <v>-103.338863</v>
      </c>
      <c r="I14" s="3">
        <f t="shared" si="0"/>
        <v>1877</v>
      </c>
      <c r="J14" s="3">
        <f t="shared" si="1"/>
        <v>442</v>
      </c>
      <c r="K14" s="4">
        <f t="shared" si="2"/>
        <v>5.115740740740741E-3</v>
      </c>
    </row>
    <row r="15" spans="4:13" x14ac:dyDescent="0.35">
      <c r="D15" s="2">
        <v>20.676078</v>
      </c>
      <c r="E15" s="2">
        <v>-103.356458</v>
      </c>
      <c r="F15" s="2">
        <v>20.680226999999999</v>
      </c>
      <c r="G15" s="2">
        <v>-103.350146</v>
      </c>
      <c r="I15" s="3">
        <f t="shared" si="0"/>
        <v>1148</v>
      </c>
      <c r="J15" s="3">
        <f t="shared" si="1"/>
        <v>303</v>
      </c>
      <c r="K15" s="4">
        <f t="shared" si="2"/>
        <v>3.5069444444444445E-3</v>
      </c>
    </row>
    <row r="16" spans="4:13" x14ac:dyDescent="0.35">
      <c r="D16" s="2">
        <v>20.682058999999999</v>
      </c>
      <c r="E16" s="2">
        <v>-103.36596900000001</v>
      </c>
      <c r="F16" s="2">
        <v>20.677315</v>
      </c>
      <c r="G16" s="2">
        <v>-103.3534145</v>
      </c>
      <c r="I16" s="3">
        <f t="shared" si="0"/>
        <v>1905</v>
      </c>
      <c r="J16" s="3">
        <f t="shared" si="1"/>
        <v>465</v>
      </c>
      <c r="K16" s="4">
        <f t="shared" si="2"/>
        <v>5.3819444444444453E-3</v>
      </c>
    </row>
    <row r="17" spans="4:11" x14ac:dyDescent="0.35">
      <c r="D17" s="2">
        <v>20.686050000000002</v>
      </c>
      <c r="E17" s="2">
        <v>-103.35408</v>
      </c>
      <c r="F17" s="2">
        <v>20.662500000000001</v>
      </c>
      <c r="G17" s="2">
        <v>-103.38406999999999</v>
      </c>
      <c r="I17" s="3">
        <f t="shared" si="0"/>
        <v>5932</v>
      </c>
      <c r="J17" s="3">
        <f t="shared" si="1"/>
        <v>1405</v>
      </c>
      <c r="K17" s="4">
        <f t="shared" si="2"/>
        <v>1.6261574074074074E-2</v>
      </c>
    </row>
    <row r="18" spans="4:11" x14ac:dyDescent="0.35">
      <c r="D18" s="2">
        <v>20.67455</v>
      </c>
      <c r="E18" s="2">
        <v>-103.37998</v>
      </c>
      <c r="F18" s="2">
        <v>20.686689999999999</v>
      </c>
      <c r="G18" s="2">
        <v>-103.37657</v>
      </c>
      <c r="I18" s="3">
        <f t="shared" si="0"/>
        <v>1698</v>
      </c>
      <c r="J18" s="3">
        <f t="shared" si="1"/>
        <v>363</v>
      </c>
      <c r="K18" s="4">
        <f t="shared" si="2"/>
        <v>4.2013888888888891E-3</v>
      </c>
    </row>
    <row r="19" spans="4:11" x14ac:dyDescent="0.35">
      <c r="D19" s="1"/>
      <c r="E19" s="1"/>
    </row>
    <row r="20" spans="4:11" x14ac:dyDescent="0.35">
      <c r="D20" s="1"/>
      <c r="E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Alberto Briseño Limón</dc:creator>
  <cp:lastModifiedBy>Alberto Briseño</cp:lastModifiedBy>
  <dcterms:created xsi:type="dcterms:W3CDTF">2018-08-19T22:44:29Z</dcterms:created>
  <dcterms:modified xsi:type="dcterms:W3CDTF">2018-08-20T02:43:47Z</dcterms:modified>
</cp:coreProperties>
</file>